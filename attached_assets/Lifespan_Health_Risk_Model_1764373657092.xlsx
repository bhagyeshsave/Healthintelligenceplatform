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fespan Model" sheetId="1" state="visible" r:id="rId1"/>
    <sheet xmlns:r="http://schemas.openxmlformats.org/officeDocument/2006/relationships" name="Instructions &amp; Model Info"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6"/>
    </font>
    <font>
      <i val="1"/>
      <sz val="11"/>
    </font>
    <font>
      <b val="1"/>
    </font>
    <font>
      <b val="1"/>
      <sz val="14"/>
    </font>
  </fonts>
  <fills count="3">
    <fill>
      <patternFill/>
    </fill>
    <fill>
      <patternFill patternType="gray125"/>
    </fill>
    <fill>
      <patternFill patternType="solid">
        <fgColor rgb="00C6EFCE"/>
        <b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0" fontId="3" fillId="2" borderId="0" applyAlignment="1" pivotButton="0" quotePrefix="0" xfId="0">
      <alignment horizontal="center"/>
    </xf>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42" customWidth="1" min="1" max="1"/>
    <col width="16" customWidth="1" min="2" max="2"/>
    <col width="16" customWidth="1" min="3" max="3"/>
    <col width="55" customWidth="1" min="4" max="4"/>
    <col width="16" customWidth="1" min="5" max="5"/>
    <col width="16" customWidth="1" min="6" max="6"/>
    <col width="16" customWidth="1" min="7" max="7"/>
  </cols>
  <sheetData>
    <row r="1">
      <c r="A1" s="1" t="inlineStr">
        <is>
          <t>LIFESPAN &amp; HEALTH RISK CALCULATOR</t>
        </is>
      </c>
    </row>
    <row r="2">
      <c r="A2" s="2" t="inlineStr">
        <is>
          <t>Model used: Cox Proportional Hazards–inspired Lifestyle Risk Index (educational, not clinical).</t>
        </is>
      </c>
    </row>
    <row r="3">
      <c r="A3" s="3" t="inlineStr">
        <is>
          <t>Factor</t>
        </is>
      </c>
      <c r="B3" s="3" t="inlineStr">
        <is>
          <t>Current Status</t>
        </is>
      </c>
      <c r="C3" s="3" t="inlineStr">
        <is>
          <t>Target Goal</t>
        </is>
      </c>
      <c r="D3" s="3" t="inlineStr">
        <is>
          <t>Notes</t>
        </is>
      </c>
      <c r="E3" s="3" t="inlineStr">
        <is>
          <t>Current Risk</t>
        </is>
      </c>
      <c r="F3" s="3" t="inlineStr">
        <is>
          <t>Target Risk</t>
        </is>
      </c>
      <c r="G3" s="3" t="inlineStr">
        <is>
          <t>Risk Change</t>
        </is>
      </c>
    </row>
    <row r="4">
      <c r="A4" t="inlineStr">
        <is>
          <t>Smoking (0 = No, 1 = Yes)</t>
        </is>
      </c>
      <c r="B4" s="4" t="n"/>
      <c r="C4" s="4" t="n"/>
      <c r="D4" s="4" t="inlineStr">
        <is>
          <t>Smoking greatly increases risk of early death.</t>
        </is>
      </c>
      <c r="E4" s="4">
        <f>IF(B4=1, 2.0, 1.0)</f>
        <v/>
      </c>
      <c r="F4" s="4">
        <f>IF(C4=1, 2.0, 1.0)</f>
        <v/>
      </c>
      <c r="G4" s="4">
        <f>F4-E4</f>
        <v/>
      </c>
    </row>
    <row r="5">
      <c r="A5" t="inlineStr">
        <is>
          <t>Exercise (Days/Week, 30+ mins)</t>
        </is>
      </c>
      <c r="B5" s="4" t="n"/>
      <c r="C5" s="4" t="n"/>
      <c r="D5" s="4" t="inlineStr">
        <is>
          <t>Number of days with 30+ mins of purposeful exercise.</t>
        </is>
      </c>
      <c r="E5" s="4">
        <f>IF(B5=0, 1.3, IF(B5&lt;=2, 1.1, IF(B5&lt;=5, 1.0, 0.95)))</f>
        <v/>
      </c>
      <c r="F5" s="4">
        <f>IF(C5=0, 1.3, IF(C5&lt;=2, 1.1, IF(C5&lt;=5, 1.0, 0.95)))</f>
        <v/>
      </c>
      <c r="G5" s="4">
        <f>F5-E5</f>
        <v/>
      </c>
    </row>
    <row r="6">
      <c r="A6" t="inlineStr">
        <is>
          <t>Diet Quality (1 = Poor, 2 = Avg, 3 = Great)</t>
        </is>
      </c>
      <c r="B6" s="4" t="n"/>
      <c r="C6" s="4" t="n"/>
      <c r="D6" s="4" t="inlineStr">
        <is>
          <t>Higher score = healthier overall diet.</t>
        </is>
      </c>
      <c r="E6" s="4">
        <f>IF(B6=1, 1.25, IF(B6=2, 1.10, 1.0))</f>
        <v/>
      </c>
      <c r="F6" s="4">
        <f>IF(C6=1, 1.25, IF(C6=2, 1.10, 1.0))</f>
        <v/>
      </c>
      <c r="G6" s="4">
        <f>F6-E6</f>
        <v/>
      </c>
    </row>
    <row r="7">
      <c r="A7" t="inlineStr">
        <is>
          <t>Sleep Quality (1 = Poor, 2 = Good)</t>
        </is>
      </c>
      <c r="B7" s="4" t="n"/>
      <c r="C7" s="4" t="n"/>
      <c r="D7" s="4" t="inlineStr">
        <is>
          <t>Good, consistent sleep lowers long-term risk.</t>
        </is>
      </c>
      <c r="E7" s="4">
        <f>IF(B7=1, 1.20, 1.0)</f>
        <v/>
      </c>
      <c r="F7" s="4">
        <f>IF(C7=1, 1.20, 1.0)</f>
        <v/>
      </c>
      <c r="G7" s="4">
        <f>F7-E7</f>
        <v/>
      </c>
    </row>
    <row r="8">
      <c r="A8" t="inlineStr">
        <is>
          <t>Stress Level (1 = Low, 2 = Med, 3 = High)</t>
        </is>
      </c>
      <c r="B8" s="4" t="n"/>
      <c r="C8" s="4" t="n"/>
      <c r="D8" s="4" t="inlineStr">
        <is>
          <t>Lower stress over time reduces heart and metabolic risk.</t>
        </is>
      </c>
      <c r="E8" s="4">
        <f>IF(B8=1, 1.0, IF(B8=2, 1.10, 1.25))</f>
        <v/>
      </c>
      <c r="F8" s="4">
        <f>IF(C8=1, 1.0, IF(C8=2, 1.10, 1.25))</f>
        <v/>
      </c>
      <c r="G8" s="4">
        <f>F8-E8</f>
        <v/>
      </c>
    </row>
    <row r="9">
      <c r="A9" t="inlineStr">
        <is>
          <t>Alcohol (Drinks/Week)</t>
        </is>
      </c>
      <c r="B9" s="4" t="n"/>
      <c r="C9" s="4" t="n"/>
      <c r="D9" s="4" t="inlineStr">
        <is>
          <t>Heavy drinking (&gt;14/week) increases long-term risk.</t>
        </is>
      </c>
      <c r="E9" s="4">
        <f>IF(B9&gt;14, 1.20, 1.0)</f>
        <v/>
      </c>
      <c r="F9" s="4">
        <f>IF(C9&gt;14, 1.20, 1.0)</f>
        <v/>
      </c>
      <c r="G9" s="4">
        <f>F9-E9</f>
        <v/>
      </c>
    </row>
    <row r="10">
      <c r="A10" t="inlineStr">
        <is>
          <t>Sitting Time (Hours/day)</t>
        </is>
      </c>
      <c r="B10" s="4" t="n"/>
      <c r="C10" s="4" t="n"/>
      <c r="D10" s="4" t="inlineStr">
        <is>
          <t>Long sitting time is linked to higher cardiovascular risk.</t>
        </is>
      </c>
      <c r="E10" s="4">
        <f>IF(B10&lt;=6, 1.0, IF(B10&lt;=9, 1.10, 1.20))</f>
        <v/>
      </c>
      <c r="F10" s="4">
        <f>IF(C10&lt;=6, 1.0, IF(C10&lt;=9, 1.10, 1.20))</f>
        <v/>
      </c>
      <c r="G10" s="4">
        <f>F10-E10</f>
        <v/>
      </c>
    </row>
    <row r="11">
      <c r="B11" s="4" t="n"/>
      <c r="C11" s="4" t="n"/>
      <c r="D11" s="4" t="n"/>
      <c r="E11" s="4" t="n"/>
      <c r="F11" s="4" t="n"/>
      <c r="G11" s="4" t="n"/>
    </row>
    <row r="12">
      <c r="B12" s="4" t="n"/>
      <c r="C12" s="4" t="n"/>
      <c r="D12" s="4" t="inlineStr">
        <is>
          <t>Total Current Risk Index</t>
        </is>
      </c>
      <c r="E12" s="4">
        <f>PRODUCT(E4:E10)</f>
        <v/>
      </c>
      <c r="F12" s="4" t="n"/>
      <c r="G12" s="4" t="n"/>
    </row>
    <row r="13">
      <c r="B13" s="4" t="n"/>
      <c r="C13" s="4" t="n"/>
      <c r="D13" s="4" t="inlineStr">
        <is>
          <t>Total Target Risk Index</t>
        </is>
      </c>
      <c r="E13" s="4">
        <f>PRODUCT(F4:F10)</f>
        <v/>
      </c>
      <c r="F13" s="4" t="n"/>
      <c r="G13" s="4" t="n"/>
    </row>
    <row r="14">
      <c r="B14" s="4" t="n"/>
      <c r="C14" s="4" t="n"/>
      <c r="D14" s="4" t="inlineStr">
        <is>
          <t>% Risk Change (Target vs Current)</t>
        </is>
      </c>
      <c r="E14" s="5">
        <f>(E13/E12-1)</f>
        <v/>
      </c>
      <c r="F14" s="4" t="n"/>
      <c r="G14" s="4" t="n"/>
    </row>
    <row r="15">
      <c r="B15" s="4" t="n"/>
      <c r="C15" s="4" t="n"/>
      <c r="D15" s="4" t="inlineStr">
        <is>
          <t>Approx. Years Gained/Lost</t>
        </is>
      </c>
      <c r="E15" s="6">
        <f>-(E13/E12-1)*10</f>
        <v/>
      </c>
      <c r="F15" s="4" t="n"/>
      <c r="G15" s="4" t="n"/>
    </row>
  </sheetData>
  <mergeCells count="2">
    <mergeCell ref="A1:G1"/>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120" customWidth="1" min="1" max="1"/>
  </cols>
  <sheetData>
    <row r="1">
      <c r="A1" s="7" t="inlineStr">
        <is>
          <t>HOW TO USE THIS CALCULATOR</t>
        </is>
      </c>
    </row>
    <row r="3">
      <c r="A3" s="8" t="inlineStr">
        <is>
          <t>1. WHAT THIS TOOL DOES</t>
        </is>
      </c>
    </row>
    <row r="4">
      <c r="A4" s="8" t="inlineStr">
        <is>
          <t>This Excel file estimates how your lifestyle habits affect your long-term health risk and approximate life expectancy.</t>
        </is>
      </c>
    </row>
    <row r="5">
      <c r="A5" s="8" t="inlineStr">
        <is>
          <t>It is based on a Cox Proportional Hazards–inspired Lifestyle Risk Index. Each factor (smoking, exercise, diet, sleep, stress, alcohol, sitting time) is converted into a risk multiplier. These multipliers are combined into a Total Risk Index.</t>
        </is>
      </c>
    </row>
    <row r="6">
      <c r="A6" s="8" t="inlineStr"/>
    </row>
    <row r="7">
      <c r="A7" s="8" t="inlineStr">
        <is>
          <t>2. MODEL USED</t>
        </is>
      </c>
    </row>
    <row r="8">
      <c r="A8" s="8" t="inlineStr">
        <is>
          <t>Name: Cox Proportional Hazards–inspired Lifestyle Risk Index (simplified).</t>
        </is>
      </c>
    </row>
    <row r="9">
      <c r="A9" s="8" t="inlineStr">
        <is>
          <t>Concept: This is inspired by the Cox proportional hazards model used in epidemiology and large cohort studies (like Harvard and Framingham). In those models, each risk factor multiplies your baseline risk of death or disease.</t>
        </is>
      </c>
    </row>
    <row r="10">
      <c r="A10" s="8" t="inlineStr">
        <is>
          <t>In this Excel, we approximate that idea using:</t>
        </is>
      </c>
    </row>
    <row r="11">
      <c r="A11" s="8" t="inlineStr">
        <is>
          <t>- A risk multiplier for each habit (e.g., smoking ≈ 2.0x risk vs non-smoking).</t>
        </is>
      </c>
    </row>
    <row r="12">
      <c r="A12" s="8" t="inlineStr">
        <is>
          <t>- A combined Total Risk Index = product of all factor multipliers.</t>
        </is>
      </c>
    </row>
    <row r="13">
      <c r="A13" s="8" t="inlineStr">
        <is>
          <t>- A rule-of-thumb mapping from risk change to approximate years gained or lost.</t>
        </is>
      </c>
    </row>
    <row r="14">
      <c r="A14" s="8" t="inlineStr"/>
    </row>
    <row r="15">
      <c r="A15" s="8" t="inlineStr">
        <is>
          <t>3. HOW TO ENTER YOUR DATA (Lifespan Model sheet)</t>
        </is>
      </c>
    </row>
    <row r="16">
      <c r="A16" s="8" t="inlineStr">
        <is>
          <t>For each row (factor):</t>
        </is>
      </c>
    </row>
    <row r="17">
      <c r="A17" s="8" t="inlineStr">
        <is>
          <t>- Column B (Current Status): Enter your real current habit.</t>
        </is>
      </c>
    </row>
    <row r="18">
      <c r="A18" s="8" t="inlineStr">
        <is>
          <t>- Column C (Target Goal): Enter the habit you want to move towards (realistic goal).</t>
        </is>
      </c>
    </row>
    <row r="19">
      <c r="A19" s="8" t="inlineStr"/>
    </row>
    <row r="20">
      <c r="A20" s="8" t="inlineStr">
        <is>
          <t>Fields:</t>
        </is>
      </c>
    </row>
    <row r="21">
      <c r="A21" s="8" t="inlineStr">
        <is>
          <t>- Smoking: 0 if you do not smoke, 1 if you currently smoke.</t>
        </is>
      </c>
    </row>
    <row r="22">
      <c r="A22" s="8" t="inlineStr">
        <is>
          <t>- Exercise: Number of days per week you do at least 30 minutes of intentional exercise.</t>
        </is>
      </c>
    </row>
    <row r="23">
      <c r="A23" s="8" t="inlineStr">
        <is>
          <t>- Diet Quality: 1 = Poor, 2 = Average, 3 = Great.</t>
        </is>
      </c>
    </row>
    <row r="24">
      <c r="A24" s="8" t="inlineStr">
        <is>
          <t>- Sleep Quality: 1 = Poor, 2 = Good.</t>
        </is>
      </c>
    </row>
    <row r="25">
      <c r="A25" s="8" t="inlineStr">
        <is>
          <t>- Stress Level: 1 = Low, 2 = Medium, 3 = High.</t>
        </is>
      </c>
    </row>
    <row r="26">
      <c r="A26" s="8" t="inlineStr">
        <is>
          <t>- Alcohol: Total drinks per week (approximate).</t>
        </is>
      </c>
    </row>
    <row r="27">
      <c r="A27" s="8" t="inlineStr">
        <is>
          <t>- Sitting Time: Average hours per day spent sitting (work + leisure).</t>
        </is>
      </c>
    </row>
    <row r="28">
      <c r="A28" s="8" t="inlineStr"/>
    </row>
    <row r="29">
      <c r="A29" s="8" t="inlineStr">
        <is>
          <t>4. HOW TO READ THE OUTPUT (Lifespan Model sheet)</t>
        </is>
      </c>
    </row>
    <row r="30">
      <c r="A30" s="8" t="inlineStr">
        <is>
          <t>- Current Risk (Column E): Shows the risk multiplier based on your current habits.</t>
        </is>
      </c>
    </row>
    <row r="31">
      <c r="A31" s="8" t="inlineStr">
        <is>
          <t>- Target Risk (Column F): Shows the risk multiplier if you achieved your target habits.</t>
        </is>
      </c>
    </row>
    <row r="32">
      <c r="A32" s="8" t="inlineStr">
        <is>
          <t>- Risk Change (Column G): Target Risk minus Current Risk for that factor (negative = improvement).</t>
        </is>
      </c>
    </row>
    <row r="33">
      <c r="A33" s="8" t="inlineStr"/>
    </row>
    <row r="34">
      <c r="A34" s="8" t="inlineStr">
        <is>
          <t>Summary metrics:</t>
        </is>
      </c>
    </row>
    <row r="35">
      <c r="A35" s="8" t="inlineStr">
        <is>
          <t>- Total Current Risk Index (E12): Product of all Current Risk multipliers. Higher = more overall risk.</t>
        </is>
      </c>
    </row>
    <row r="36">
      <c r="A36" s="8" t="inlineStr">
        <is>
          <t>- Total Target Risk Index (E13): Product of all Target Risk multipliers. Lower = healthier overall profile.</t>
        </is>
      </c>
    </row>
    <row r="37">
      <c r="A37" s="8" t="inlineStr">
        <is>
          <t>- % Risk Change (E14): How much your overall risk changes if you move from current to target habits (negative % = improvement).</t>
        </is>
      </c>
    </row>
    <row r="38">
      <c r="A38" s="8" t="inlineStr">
        <is>
          <t>- Approx. Years Gained/Lost (E15): Educational estimate of lifespan impact. Positive = likely years gained, negative = likely years lost.</t>
        </is>
      </c>
    </row>
    <row r="39">
      <c r="A39" s="8" t="inlineStr"/>
    </row>
    <row r="40">
      <c r="A40" s="8" t="inlineStr">
        <is>
          <t>5. HOW ARE YEARS ESTIMATED?</t>
        </is>
      </c>
    </row>
    <row r="41">
      <c r="A41" s="8" t="inlineStr">
        <is>
          <t>We use a simple rule of thumb:</t>
        </is>
      </c>
    </row>
    <row r="42">
      <c r="A42" s="8" t="inlineStr">
        <is>
          <t>- Roughly, every 10% reduction in long-term overall mortality risk (Total Risk Index) corresponds to about 1 additional year of life expectancy for an average midlife adult.</t>
        </is>
      </c>
    </row>
    <row r="43">
      <c r="A43" s="8" t="inlineStr">
        <is>
          <t>Mathematically in E15: Years ≈ -(TargetRisk / CurrentRisk - 1) * 10.</t>
        </is>
      </c>
    </row>
    <row r="44">
      <c r="A44" s="8" t="inlineStr">
        <is>
          <t>Example: If your Total Target Risk is 20% lower than your Total Current Risk, the calculator will show ≈ +2 years gained.</t>
        </is>
      </c>
    </row>
    <row r="45">
      <c r="A45" s="8" t="inlineStr"/>
    </row>
    <row r="46">
      <c r="A46" s="8" t="inlineStr">
        <is>
          <t>6. IMPORTANT LIMITATIONS</t>
        </is>
      </c>
    </row>
    <row r="47">
      <c r="A47" s="8" t="inlineStr">
        <is>
          <t>- This is NOT a medical or diagnostic tool.</t>
        </is>
      </c>
    </row>
    <row r="48">
      <c r="A48" s="8" t="inlineStr">
        <is>
          <t>- It uses approximate hazard ratios based on population-level research, not your personal genetics, medical history, or current diseases.</t>
        </is>
      </c>
    </row>
    <row r="49">
      <c r="A49" s="8" t="inlineStr">
        <is>
          <t>- Real-life lifespan is affected by many uncertain factors: accidents, infections, environment, access to care, etc.</t>
        </is>
      </c>
    </row>
    <row r="50">
      <c r="A50" s="8" t="inlineStr">
        <is>
          <t>- Use this tool for motivation and education, not for clinical decisions.</t>
        </is>
      </c>
    </row>
    <row r="51">
      <c r="A51" s="8" t="inlineStr"/>
    </row>
    <row r="52">
      <c r="A52" s="8" t="inlineStr">
        <is>
          <t>7. HOW TO USE THIS IN PRACTICE</t>
        </is>
      </c>
    </row>
    <row r="53">
      <c r="A53" s="8" t="inlineStr">
        <is>
          <t>- Start by entering realistic current values in Column B.</t>
        </is>
      </c>
    </row>
    <row r="54">
      <c r="A54" s="8" t="inlineStr">
        <is>
          <t>- Set achievable 6–12 month goals in Column C (e.g., exercise from 0 to 3 days/week, sitting time from 10 to 8 hrs/day).</t>
        </is>
      </c>
    </row>
    <row r="55">
      <c r="A55" s="8" t="inlineStr">
        <is>
          <t>- Look at E14 (% Risk Change) and E15 (years gained) to see which factor gives you the biggest benefit.</t>
        </is>
      </c>
    </row>
    <row r="56">
      <c r="A56" s="8" t="inlineStr">
        <is>
          <t>- Focus first on the 1–2 habits that give the largest positive impact and are realistically changeable for you.</t>
        </is>
      </c>
    </row>
    <row r="57">
      <c r="A57" s="8" t="inlineStr"/>
    </row>
    <row r="58">
      <c r="A58" s="8" t="inlineStr">
        <is>
          <t>8. WARNING / DISCLAIMER</t>
        </is>
      </c>
    </row>
    <row r="59">
      <c r="A59" s="8" t="inlineStr">
        <is>
          <t>This model is for personal education and behavioural motivation only. It does not provide clinical risk scores, does not replace medical advice, and should not be used to make decisions about medication, treatment, or diagnosis. Always consult a qualified healthcare professional for medical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2025-11-28T21:23:11Z</dcterms:created>
  <dcterms:modified xmlns:dcterms="http://purl.org/dc/terms/" xmlns:xsi="http://www.w3.org/2001/XMLSchema-instance" xsi:type="dcterms:W3CDTF">2025-11-28T21:23:11Z</dcterms:modified>
</cp:coreProperties>
</file>